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-TCGS\Desktop\"/>
    </mc:Choice>
  </mc:AlternateContent>
  <xr:revisionPtr revIDLastSave="0" documentId="13_ncr:1_{118E8C05-8592-4EA8-BAE6-EE83F5A9B8C4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TUDENT RECORDS" sheetId="1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3" i="3" l="1" a="1"/>
  <c r="K13" i="3" s="1"/>
  <c r="K14" i="3" a="1"/>
  <c r="K14" i="3"/>
  <c r="K15" i="3" a="1"/>
  <c r="K15" i="3" s="1"/>
  <c r="K16" i="3" a="1"/>
  <c r="K16" i="3"/>
  <c r="K17" i="3" a="1"/>
  <c r="K17" i="3" s="1"/>
  <c r="K18" i="3" a="1"/>
  <c r="K18" i="3"/>
  <c r="K12" i="3" a="1"/>
  <c r="K12" i="3" s="1"/>
  <c r="J12" i="3" l="1"/>
  <c r="J18" i="3"/>
  <c r="J17" i="3"/>
  <c r="J16" i="3"/>
  <c r="J15" i="3"/>
  <c r="J14" i="3"/>
  <c r="J13" i="3"/>
  <c r="C6" i="3"/>
  <c r="C5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<sst xmlns="http://schemas.openxmlformats.org/spreadsheetml/2006/main" count="118" uniqueCount="91">
  <si>
    <t>STUDENT ID</t>
  </si>
  <si>
    <t>NAME</t>
  </si>
  <si>
    <t>DEPT</t>
  </si>
  <si>
    <t>MATHS</t>
  </si>
  <si>
    <t>ENGLISH</t>
  </si>
  <si>
    <t>PHY</t>
  </si>
  <si>
    <t>BIO</t>
  </si>
  <si>
    <t>CHE</t>
  </si>
  <si>
    <t>AGRIC</t>
  </si>
  <si>
    <t>GEO</t>
  </si>
  <si>
    <t>IKT34</t>
  </si>
  <si>
    <t>Adeola Musa</t>
  </si>
  <si>
    <t>Computer Science</t>
  </si>
  <si>
    <t>IKT02</t>
  </si>
  <si>
    <t>Tunde Balogun</t>
  </si>
  <si>
    <t>Accounting</t>
  </si>
  <si>
    <t>IKT89</t>
  </si>
  <si>
    <t>Chioma Okeke</t>
  </si>
  <si>
    <t>Biology</t>
  </si>
  <si>
    <t>IKT11</t>
  </si>
  <si>
    <t>Ibrahim Bello</t>
  </si>
  <si>
    <t>Engineering</t>
  </si>
  <si>
    <t>IKT53</t>
  </si>
  <si>
    <t>Ngozi Eze</t>
  </si>
  <si>
    <t>Economics</t>
  </si>
  <si>
    <t>IKT27</t>
  </si>
  <si>
    <t>Samuel Adeyemi</t>
  </si>
  <si>
    <t>Geography</t>
  </si>
  <si>
    <t>IKT75</t>
  </si>
  <si>
    <t>Ruth Akinwale</t>
  </si>
  <si>
    <t>Microbiology</t>
  </si>
  <si>
    <t>IKT20</t>
  </si>
  <si>
    <t>Emeka Obi</t>
  </si>
  <si>
    <t>Physics</t>
  </si>
  <si>
    <t>IKT61</t>
  </si>
  <si>
    <t>Zainab Sadiq</t>
  </si>
  <si>
    <t>Chemistry</t>
  </si>
  <si>
    <t>IKT08</t>
  </si>
  <si>
    <t>David Ojo</t>
  </si>
  <si>
    <t>IKT44</t>
  </si>
  <si>
    <t>Grace Nwosu</t>
  </si>
  <si>
    <t>IKT92</t>
  </si>
  <si>
    <t>Kingsley Uche</t>
  </si>
  <si>
    <t>IKT36</t>
  </si>
  <si>
    <t>Amina Bello</t>
  </si>
  <si>
    <t>Agriculture</t>
  </si>
  <si>
    <t>IKT14</t>
  </si>
  <si>
    <t>Peter Okon</t>
  </si>
  <si>
    <t>Geology</t>
  </si>
  <si>
    <t>IKT71</t>
  </si>
  <si>
    <t>Blessing Eze</t>
  </si>
  <si>
    <t>IKT16</t>
  </si>
  <si>
    <t>Kolade Lawal</t>
  </si>
  <si>
    <t>IKT50</t>
  </si>
  <si>
    <t>Halima Musa</t>
  </si>
  <si>
    <t>IKT83</t>
  </si>
  <si>
    <t>Victor James</t>
  </si>
  <si>
    <t>IKT05</t>
  </si>
  <si>
    <t>Joy Olatunji</t>
  </si>
  <si>
    <t>IKT99</t>
  </si>
  <si>
    <t>Sani Abdullahi</t>
  </si>
  <si>
    <t>IKT21</t>
  </si>
  <si>
    <t>Esther Okafor</t>
  </si>
  <si>
    <t>IKT64</t>
  </si>
  <si>
    <t>Adewale Yusuf</t>
  </si>
  <si>
    <t>IKT03</t>
  </si>
  <si>
    <t>Chinedu Nnamdi</t>
  </si>
  <si>
    <t>IKT57</t>
  </si>
  <si>
    <t>Maryam Aliyu</t>
  </si>
  <si>
    <t>IKT41</t>
  </si>
  <si>
    <t>Paul Johnson</t>
  </si>
  <si>
    <t>IKT12</t>
  </si>
  <si>
    <t>Lilian Obi</t>
  </si>
  <si>
    <t>IKT68</t>
  </si>
  <si>
    <t>Usman Garba</t>
  </si>
  <si>
    <t>IKT25</t>
  </si>
  <si>
    <t>Rachel Danjuma</t>
  </si>
  <si>
    <t>IKT77</t>
  </si>
  <si>
    <t>Stephen Adeoye</t>
  </si>
  <si>
    <t>IKT01</t>
  </si>
  <si>
    <t>Fatima Lawal</t>
  </si>
  <si>
    <t>DEPARTMENT</t>
  </si>
  <si>
    <t xml:space="preserve">AR RAHMAN SECONDARY SCHOOL </t>
  </si>
  <si>
    <t xml:space="preserve">1ST TERM REPORT CARD </t>
  </si>
  <si>
    <t>SUBJECT</t>
  </si>
  <si>
    <t>TOTAL SCORE</t>
  </si>
  <si>
    <t>PASS MARK</t>
  </si>
  <si>
    <t>SCORE OBTAINED</t>
  </si>
  <si>
    <t>GRADE</t>
  </si>
  <si>
    <t>MATH</t>
  </si>
  <si>
    <t>GIO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</si>
</sst>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ptos Narrow"/>
      <scheme val="minor"/>
    </font>
    <font>
      <b/>
      <sz val="11"/>
      <color theme="1"/>
      <name val="'Segoe UI'"/>
    </font>
    <font>
      <sz val="11"/>
      <color theme="1"/>
      <name val="'Segoe UI'"/>
    </font>
    <font>
      <sz val="11"/>
      <color theme="1"/>
      <name val="Arial"/>
      <family val="2"/>
    </font>
    <font>
      <sz val="10"/>
      <color rgb="FF000000"/>
      <name val="Aptos Narrow"/>
      <family val="2"/>
      <scheme val="minor"/>
    </font>
    <font>
      <u/>
      <sz val="10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E4412B-F734-4AF7-8A2D-B07364CA3973}" name="Table3" displayName="Table3" ref="G11:K18" totalsRowShown="0">
  <autoFilter ref="G11:K18" xr:uid="{B1E4412B-F734-4AF7-8A2D-B07364CA3973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9381F42A-0007-4E7F-9678-600EA8D827FF}" name="SUBJECT"/>
    <tableColumn id="2" xr3:uid="{666BE32A-4850-4917-95FB-8E2DF42877BF}" name="TOTAL SCORE"/>
    <tableColumn id="3" xr3:uid="{25B71EA7-6A33-4656-A882-69FA6929C934}" name="PASS MARK"/>
    <tableColumn id="4" xr3:uid="{506645ED-8E80-41D6-9F53-8728EC473F33}" name="SCORE OBTAINED" dataDxfId="1">
      <calculatedColumnFormula>VLOOKUP(C4,'STUDENT RECORDS'!A2:J31,4,FALSE)</calculatedColumnFormula>
    </tableColumn>
    <tableColumn id="5" xr3:uid="{FD6D50AC-5160-49B9-BD93-FA47E33FE3AC}" name="GRADE" dataDxfId="0">
      <calculatedColumnFormula array="1">_xlfn.IFS(Table3[[#This Row],[SCORE OBTAINED]]&gt;=85,"EXCELLENT",Table3[[#This Row],[SCORE OBTAINED]]&gt;=70,"VERY GOOD",Table3[[#This Row],[SCORE OBTAINED]]&gt;=60,"GOOD",Table3[[#This Row],[SCORE OBTAINED]]&gt;=50,"PASS",J11&gt;=45,"FAIL")</calculatedColumnFormula>
    </tableColumn>
  </tableColumns>
  <tableStyleInfo name="TableStyleLight15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31"/>
  <sheetViews>
    <sheetView workbookViewId="0">
      <selection activeCell="N1" sqref="N1"/>
    </sheetView>
  </sheetViews>
  <sheetFormatPr defaultColWidth="12.5703125" defaultRowHeight="15.75" customHeight="1"/>
  <cols>
    <col min="1" max="1" width="14.28515625" customWidth="1"/>
    <col min="2" max="2" width="15.7109375" customWidth="1"/>
    <col min="3" max="3" width="19.28515625" customWidth="1"/>
  </cols>
  <sheetData>
    <row r="1" spans="1:10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>
      <c r="A2" s="2" t="s">
        <v>10</v>
      </c>
      <c r="B2" s="2" t="s">
        <v>11</v>
      </c>
      <c r="C2" s="2" t="s">
        <v>12</v>
      </c>
      <c r="D2" s="2">
        <v>78</v>
      </c>
      <c r="E2" s="2">
        <v>65</v>
      </c>
      <c r="F2" s="3">
        <v>44</v>
      </c>
      <c r="G2" s="2">
        <v>74</v>
      </c>
      <c r="H2" s="2">
        <v>69</v>
      </c>
      <c r="I2" s="2">
        <v>55</v>
      </c>
      <c r="J2" s="2">
        <v>60</v>
      </c>
    </row>
    <row r="3" spans="1:10" ht="15">
      <c r="A3" s="2" t="s">
        <v>13</v>
      </c>
      <c r="B3" s="2" t="s">
        <v>14</v>
      </c>
      <c r="C3" s="2" t="s">
        <v>15</v>
      </c>
      <c r="D3" s="2">
        <v>55</v>
      </c>
      <c r="E3" s="2">
        <v>60</v>
      </c>
      <c r="F3" s="2">
        <v>48</v>
      </c>
      <c r="G3" s="2">
        <v>52</v>
      </c>
      <c r="H3" s="2">
        <v>72</v>
      </c>
      <c r="I3" s="2">
        <v>67</v>
      </c>
      <c r="J3" s="2">
        <v>58</v>
      </c>
    </row>
    <row r="4" spans="1:10" ht="15">
      <c r="A4" s="2" t="s">
        <v>16</v>
      </c>
      <c r="B4" s="2" t="s">
        <v>17</v>
      </c>
      <c r="C4" s="2" t="s">
        <v>18</v>
      </c>
      <c r="D4" s="2">
        <v>85</v>
      </c>
      <c r="E4" s="2">
        <v>79</v>
      </c>
      <c r="F4" s="2">
        <v>74</v>
      </c>
      <c r="G4" s="2">
        <v>88</v>
      </c>
      <c r="H4" s="2">
        <v>81</v>
      </c>
      <c r="I4" s="2">
        <v>70</v>
      </c>
      <c r="J4" s="2">
        <v>72</v>
      </c>
    </row>
    <row r="5" spans="1:10" ht="15">
      <c r="A5" s="2" t="s">
        <v>19</v>
      </c>
      <c r="B5" s="2" t="s">
        <v>20</v>
      </c>
      <c r="C5" s="2" t="s">
        <v>21</v>
      </c>
      <c r="D5" s="2">
        <v>90</v>
      </c>
      <c r="E5" s="2">
        <v>76</v>
      </c>
      <c r="F5" s="2">
        <v>88</v>
      </c>
      <c r="G5" s="3">
        <v>55</v>
      </c>
      <c r="H5" s="2">
        <v>84</v>
      </c>
      <c r="I5" s="2">
        <v>73</v>
      </c>
      <c r="J5" s="2">
        <v>75</v>
      </c>
    </row>
    <row r="6" spans="1:10" ht="15">
      <c r="A6" s="2" t="s">
        <v>22</v>
      </c>
      <c r="B6" s="2" t="s">
        <v>23</v>
      </c>
      <c r="C6" s="2" t="s">
        <v>24</v>
      </c>
      <c r="D6" s="2">
        <v>62</v>
      </c>
      <c r="E6" s="2">
        <v>70</v>
      </c>
      <c r="F6" s="2">
        <v>58</v>
      </c>
      <c r="G6" s="2">
        <v>60</v>
      </c>
      <c r="H6" s="2">
        <v>64</v>
      </c>
      <c r="I6" s="2">
        <v>66</v>
      </c>
      <c r="J6" s="2">
        <v>59</v>
      </c>
    </row>
    <row r="7" spans="1:10" ht="15">
      <c r="A7" s="2" t="s">
        <v>25</v>
      </c>
      <c r="B7" s="2" t="s">
        <v>26</v>
      </c>
      <c r="C7" s="2" t="s">
        <v>27</v>
      </c>
      <c r="D7" s="2">
        <v>71</v>
      </c>
      <c r="E7" s="2">
        <v>68</v>
      </c>
      <c r="F7" s="2">
        <v>72</v>
      </c>
      <c r="G7" s="2">
        <v>65</v>
      </c>
      <c r="H7" s="2">
        <v>60</v>
      </c>
      <c r="I7" s="2">
        <v>75</v>
      </c>
      <c r="J7" s="3">
        <v>44</v>
      </c>
    </row>
    <row r="8" spans="1:10" ht="15">
      <c r="A8" s="2" t="s">
        <v>28</v>
      </c>
      <c r="B8" s="2" t="s">
        <v>29</v>
      </c>
      <c r="C8" s="2" t="s">
        <v>30</v>
      </c>
      <c r="D8" s="3">
        <v>44</v>
      </c>
      <c r="E8" s="2">
        <v>74</v>
      </c>
      <c r="F8" s="2">
        <v>78</v>
      </c>
      <c r="G8" s="2">
        <v>82</v>
      </c>
      <c r="H8" s="2">
        <v>77</v>
      </c>
      <c r="I8" s="2">
        <v>69</v>
      </c>
      <c r="J8" s="2">
        <v>70</v>
      </c>
    </row>
    <row r="9" spans="1:10" ht="15">
      <c r="A9" s="2" t="s">
        <v>31</v>
      </c>
      <c r="B9" s="2" t="s">
        <v>32</v>
      </c>
      <c r="C9" s="2" t="s">
        <v>33</v>
      </c>
      <c r="D9" s="3">
        <v>44</v>
      </c>
      <c r="E9" s="2">
        <v>66</v>
      </c>
      <c r="F9" s="2">
        <v>91</v>
      </c>
      <c r="G9" s="2">
        <v>73</v>
      </c>
      <c r="H9" s="2">
        <v>85</v>
      </c>
      <c r="I9" s="2">
        <v>60</v>
      </c>
      <c r="J9" s="2">
        <v>64</v>
      </c>
    </row>
    <row r="10" spans="1:10" ht="15">
      <c r="A10" s="2" t="s">
        <v>34</v>
      </c>
      <c r="B10" s="2" t="s">
        <v>35</v>
      </c>
      <c r="C10" s="2" t="s">
        <v>36</v>
      </c>
      <c r="D10" s="2">
        <v>73</v>
      </c>
      <c r="E10" s="2">
        <v>70</v>
      </c>
      <c r="F10" s="2">
        <v>75</v>
      </c>
      <c r="G10" s="2">
        <v>68</v>
      </c>
      <c r="H10" s="2">
        <v>80</v>
      </c>
      <c r="I10" s="2">
        <v>65</v>
      </c>
      <c r="J10" s="2">
        <v>69</v>
      </c>
    </row>
    <row r="11" spans="1:10" ht="15">
      <c r="A11" s="2" t="s">
        <v>37</v>
      </c>
      <c r="B11" s="2" t="s">
        <v>38</v>
      </c>
      <c r="C11" s="2" t="s">
        <v>21</v>
      </c>
      <c r="D11" s="3">
        <v>44</v>
      </c>
      <c r="E11" s="2">
        <v>77</v>
      </c>
      <c r="F11" s="3">
        <v>55</v>
      </c>
      <c r="G11" s="2">
        <v>79</v>
      </c>
      <c r="H11" s="2">
        <v>81</v>
      </c>
      <c r="I11" s="2">
        <v>72</v>
      </c>
      <c r="J11" s="2">
        <v>74</v>
      </c>
    </row>
    <row r="12" spans="1:10" ht="15">
      <c r="A12" s="2" t="s">
        <v>39</v>
      </c>
      <c r="B12" s="2" t="s">
        <v>40</v>
      </c>
      <c r="C12" s="2" t="s">
        <v>18</v>
      </c>
      <c r="D12" s="3">
        <v>56</v>
      </c>
      <c r="E12" s="2">
        <v>72</v>
      </c>
      <c r="F12" s="2">
        <v>65</v>
      </c>
      <c r="G12" s="2">
        <v>70</v>
      </c>
      <c r="H12" s="2">
        <v>68</v>
      </c>
      <c r="I12" s="2">
        <v>64</v>
      </c>
      <c r="J12" s="2">
        <v>66</v>
      </c>
    </row>
    <row r="13" spans="1:10" ht="15">
      <c r="A13" s="2" t="s">
        <v>41</v>
      </c>
      <c r="B13" s="2" t="s">
        <v>42</v>
      </c>
      <c r="C13" s="2" t="s">
        <v>12</v>
      </c>
      <c r="D13" s="2">
        <v>75</v>
      </c>
      <c r="E13" s="2">
        <v>71</v>
      </c>
      <c r="F13" s="3">
        <v>66</v>
      </c>
      <c r="G13" s="2">
        <v>74</v>
      </c>
      <c r="H13" s="2">
        <v>72</v>
      </c>
      <c r="I13" s="2">
        <v>69</v>
      </c>
      <c r="J13" s="2">
        <v>70</v>
      </c>
    </row>
    <row r="14" spans="1:10" ht="15">
      <c r="A14" s="2" t="s">
        <v>43</v>
      </c>
      <c r="B14" s="2" t="s">
        <v>44</v>
      </c>
      <c r="C14" s="2" t="s">
        <v>45</v>
      </c>
      <c r="D14" s="2">
        <v>66</v>
      </c>
      <c r="E14" s="2">
        <v>68</v>
      </c>
      <c r="F14" s="2">
        <v>62</v>
      </c>
      <c r="G14" s="2">
        <v>64</v>
      </c>
      <c r="H14" s="2">
        <v>65</v>
      </c>
      <c r="I14" s="2">
        <v>78</v>
      </c>
      <c r="J14" s="2">
        <v>72</v>
      </c>
    </row>
    <row r="15" spans="1:10" ht="15">
      <c r="A15" s="2" t="s">
        <v>46</v>
      </c>
      <c r="B15" s="2" t="s">
        <v>47</v>
      </c>
      <c r="C15" s="2" t="s">
        <v>48</v>
      </c>
      <c r="D15" s="3">
        <v>55</v>
      </c>
      <c r="E15" s="2">
        <v>73</v>
      </c>
      <c r="F15" s="2">
        <v>76</v>
      </c>
      <c r="G15" s="2">
        <v>68</v>
      </c>
      <c r="H15" s="2">
        <v>74</v>
      </c>
      <c r="I15" s="2">
        <v>60</v>
      </c>
      <c r="J15" s="2">
        <v>82</v>
      </c>
    </row>
    <row r="16" spans="1:10" ht="15">
      <c r="A16" s="2" t="s">
        <v>49</v>
      </c>
      <c r="B16" s="2" t="s">
        <v>50</v>
      </c>
      <c r="C16" s="2" t="s">
        <v>15</v>
      </c>
      <c r="D16" s="2">
        <v>72</v>
      </c>
      <c r="E16" s="2">
        <v>65</v>
      </c>
      <c r="F16" s="2">
        <v>60</v>
      </c>
      <c r="G16" s="2">
        <v>58</v>
      </c>
      <c r="H16" s="2">
        <v>69</v>
      </c>
      <c r="I16" s="2">
        <v>70</v>
      </c>
      <c r="J16" s="3">
        <v>44</v>
      </c>
    </row>
    <row r="17" spans="1:10" ht="15">
      <c r="A17" s="2" t="s">
        <v>51</v>
      </c>
      <c r="B17" s="2" t="s">
        <v>52</v>
      </c>
      <c r="C17" s="2" t="s">
        <v>24</v>
      </c>
      <c r="D17" s="2">
        <v>68</v>
      </c>
      <c r="E17" s="2">
        <v>72</v>
      </c>
      <c r="F17" s="2">
        <v>70</v>
      </c>
      <c r="G17" s="2">
        <v>66</v>
      </c>
      <c r="H17" s="2">
        <v>71</v>
      </c>
      <c r="I17" s="2">
        <v>63</v>
      </c>
      <c r="J17" s="2">
        <v>60</v>
      </c>
    </row>
    <row r="18" spans="1:10" ht="15">
      <c r="A18" s="2" t="s">
        <v>53</v>
      </c>
      <c r="B18" s="2" t="s">
        <v>54</v>
      </c>
      <c r="C18" s="2" t="s">
        <v>45</v>
      </c>
      <c r="D18" s="2">
        <v>64</v>
      </c>
      <c r="E18" s="2">
        <v>66</v>
      </c>
      <c r="F18" s="3">
        <v>55</v>
      </c>
      <c r="G18" s="2">
        <v>65</v>
      </c>
      <c r="H18" s="2">
        <v>68</v>
      </c>
      <c r="I18" s="2">
        <v>74</v>
      </c>
      <c r="J18" s="2">
        <v>70</v>
      </c>
    </row>
    <row r="19" spans="1:10" ht="15">
      <c r="A19" s="2" t="s">
        <v>55</v>
      </c>
      <c r="B19" s="2" t="s">
        <v>56</v>
      </c>
      <c r="C19" s="2" t="s">
        <v>33</v>
      </c>
      <c r="D19" s="2">
        <v>77</v>
      </c>
      <c r="E19" s="3">
        <v>55</v>
      </c>
      <c r="F19" s="2">
        <v>85</v>
      </c>
      <c r="G19" s="2">
        <v>70</v>
      </c>
      <c r="H19" s="2">
        <v>80</v>
      </c>
      <c r="I19" s="2">
        <v>66</v>
      </c>
      <c r="J19" s="2">
        <v>68</v>
      </c>
    </row>
    <row r="20" spans="1:10" ht="15">
      <c r="A20" s="2" t="s">
        <v>57</v>
      </c>
      <c r="B20" s="2" t="s">
        <v>58</v>
      </c>
      <c r="C20" s="2" t="s">
        <v>30</v>
      </c>
      <c r="D20" s="2">
        <v>73</v>
      </c>
      <c r="E20" s="2">
        <v>75</v>
      </c>
      <c r="F20" s="2">
        <v>70</v>
      </c>
      <c r="G20" s="2">
        <v>76</v>
      </c>
      <c r="H20" s="2">
        <v>72</v>
      </c>
      <c r="I20" s="2">
        <v>65</v>
      </c>
      <c r="J20" s="2">
        <v>67</v>
      </c>
    </row>
    <row r="21" spans="1:10" ht="15">
      <c r="A21" s="2" t="s">
        <v>59</v>
      </c>
      <c r="B21" s="2" t="s">
        <v>60</v>
      </c>
      <c r="C21" s="2" t="s">
        <v>21</v>
      </c>
      <c r="D21" s="3">
        <v>55</v>
      </c>
      <c r="E21" s="2">
        <v>78</v>
      </c>
      <c r="F21" s="3">
        <v>25</v>
      </c>
      <c r="G21" s="2">
        <v>82</v>
      </c>
      <c r="H21" s="3">
        <v>22</v>
      </c>
      <c r="I21" s="2">
        <v>80</v>
      </c>
      <c r="J21" s="2">
        <v>79</v>
      </c>
    </row>
    <row r="22" spans="1:10" ht="15">
      <c r="A22" s="2" t="s">
        <v>61</v>
      </c>
      <c r="B22" s="2" t="s">
        <v>62</v>
      </c>
      <c r="C22" s="2" t="s">
        <v>18</v>
      </c>
      <c r="D22" s="2">
        <v>74</v>
      </c>
      <c r="E22" s="2">
        <v>76</v>
      </c>
      <c r="F22" s="2">
        <v>72</v>
      </c>
      <c r="G22" s="2">
        <v>78</v>
      </c>
      <c r="H22" s="2">
        <v>75</v>
      </c>
      <c r="I22" s="2">
        <v>68</v>
      </c>
      <c r="J22" s="2">
        <v>70</v>
      </c>
    </row>
    <row r="23" spans="1:10" ht="15">
      <c r="A23" s="2" t="s">
        <v>63</v>
      </c>
      <c r="B23" s="2" t="s">
        <v>64</v>
      </c>
      <c r="C23" s="2" t="s">
        <v>27</v>
      </c>
      <c r="D23" s="2">
        <v>69</v>
      </c>
      <c r="E23" s="2">
        <v>70</v>
      </c>
      <c r="F23" s="2">
        <v>68</v>
      </c>
      <c r="G23" s="2">
        <v>66</v>
      </c>
      <c r="H23" s="2">
        <v>72</v>
      </c>
      <c r="I23" s="2">
        <v>74</v>
      </c>
      <c r="J23" s="2">
        <v>81</v>
      </c>
    </row>
    <row r="24" spans="1:10" ht="15">
      <c r="A24" s="2" t="s">
        <v>65</v>
      </c>
      <c r="B24" s="2" t="s">
        <v>66</v>
      </c>
      <c r="C24" s="2" t="s">
        <v>12</v>
      </c>
      <c r="D24" s="2">
        <v>82</v>
      </c>
      <c r="E24" s="2">
        <v>79</v>
      </c>
      <c r="F24" s="2">
        <v>84</v>
      </c>
      <c r="G24" s="2">
        <v>80</v>
      </c>
      <c r="H24" s="2">
        <v>78</v>
      </c>
      <c r="I24" s="2">
        <v>72</v>
      </c>
      <c r="J24" s="2">
        <v>73</v>
      </c>
    </row>
    <row r="25" spans="1:10" ht="15">
      <c r="A25" s="2" t="s">
        <v>67</v>
      </c>
      <c r="B25" s="2" t="s">
        <v>68</v>
      </c>
      <c r="C25" s="2" t="s">
        <v>36</v>
      </c>
      <c r="D25" s="2">
        <v>70</v>
      </c>
      <c r="E25" s="2">
        <v>74</v>
      </c>
      <c r="F25" s="2">
        <v>68</v>
      </c>
      <c r="G25" s="3">
        <v>55</v>
      </c>
      <c r="H25" s="2">
        <v>75</v>
      </c>
      <c r="I25" s="2">
        <v>77</v>
      </c>
      <c r="J25" s="2">
        <v>69</v>
      </c>
    </row>
    <row r="26" spans="1:10" ht="15">
      <c r="A26" s="2" t="s">
        <v>69</v>
      </c>
      <c r="B26" s="2" t="s">
        <v>70</v>
      </c>
      <c r="C26" s="2" t="s">
        <v>21</v>
      </c>
      <c r="D26" s="3">
        <v>55</v>
      </c>
      <c r="E26" s="2">
        <v>80</v>
      </c>
      <c r="F26" s="2">
        <v>90</v>
      </c>
      <c r="G26" s="2">
        <v>78</v>
      </c>
      <c r="H26" s="2">
        <v>84</v>
      </c>
      <c r="I26" s="2">
        <v>76</v>
      </c>
      <c r="J26" s="2">
        <v>75</v>
      </c>
    </row>
    <row r="27" spans="1:10" ht="15">
      <c r="A27" s="2" t="s">
        <v>71</v>
      </c>
      <c r="B27" s="2" t="s">
        <v>72</v>
      </c>
      <c r="C27" s="2" t="s">
        <v>15</v>
      </c>
      <c r="D27" s="2">
        <v>65</v>
      </c>
      <c r="E27" s="2">
        <v>70</v>
      </c>
      <c r="F27" s="2">
        <v>60</v>
      </c>
      <c r="G27" s="2">
        <v>62</v>
      </c>
      <c r="H27" s="2">
        <v>68</v>
      </c>
      <c r="I27" s="3">
        <v>55</v>
      </c>
      <c r="J27" s="2">
        <v>64</v>
      </c>
    </row>
    <row r="28" spans="1:10" ht="15">
      <c r="A28" s="2" t="s">
        <v>73</v>
      </c>
      <c r="B28" s="2" t="s">
        <v>74</v>
      </c>
      <c r="C28" s="2" t="s">
        <v>45</v>
      </c>
      <c r="D28" s="3">
        <v>44</v>
      </c>
      <c r="E28" s="2">
        <v>66</v>
      </c>
      <c r="F28" s="2">
        <v>70</v>
      </c>
      <c r="G28" s="2">
        <v>72</v>
      </c>
      <c r="H28" s="3">
        <v>44</v>
      </c>
      <c r="I28" s="3">
        <v>55</v>
      </c>
      <c r="J28" s="2">
        <v>74</v>
      </c>
    </row>
    <row r="29" spans="1:10" ht="15">
      <c r="A29" s="2" t="s">
        <v>75</v>
      </c>
      <c r="B29" s="2" t="s">
        <v>76</v>
      </c>
      <c r="C29" s="2" t="s">
        <v>18</v>
      </c>
      <c r="D29" s="2">
        <v>75</v>
      </c>
      <c r="E29" s="2">
        <v>78</v>
      </c>
      <c r="F29" s="3">
        <v>55</v>
      </c>
      <c r="G29" s="3">
        <v>44</v>
      </c>
      <c r="H29" s="2">
        <v>77</v>
      </c>
      <c r="I29" s="2">
        <v>70</v>
      </c>
      <c r="J29" s="2">
        <v>72</v>
      </c>
    </row>
    <row r="30" spans="1:10" ht="15">
      <c r="A30" s="2" t="s">
        <v>77</v>
      </c>
      <c r="B30" s="2" t="s">
        <v>78</v>
      </c>
      <c r="C30" s="2" t="s">
        <v>33</v>
      </c>
      <c r="D30" s="2">
        <v>80</v>
      </c>
      <c r="E30" s="2">
        <v>74</v>
      </c>
      <c r="F30" s="2">
        <v>85</v>
      </c>
      <c r="G30" s="2">
        <v>78</v>
      </c>
      <c r="H30" s="2">
        <v>82</v>
      </c>
      <c r="I30" s="2">
        <v>69</v>
      </c>
      <c r="J30" s="2">
        <v>71</v>
      </c>
    </row>
    <row r="31" spans="1:10" ht="15">
      <c r="A31" s="2" t="s">
        <v>79</v>
      </c>
      <c r="B31" s="2" t="s">
        <v>80</v>
      </c>
      <c r="C31" s="2" t="s">
        <v>24</v>
      </c>
      <c r="D31" s="2">
        <v>72</v>
      </c>
      <c r="E31" s="2">
        <v>75</v>
      </c>
      <c r="F31" s="2">
        <v>70</v>
      </c>
      <c r="G31" s="2">
        <v>68</v>
      </c>
      <c r="H31" s="2">
        <v>73</v>
      </c>
      <c r="I31" s="2">
        <v>77</v>
      </c>
      <c r="J31" s="2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DC279-36E2-47EA-8692-6D213DA4342A}">
  <dimension ref="B4:K18"/>
  <sheetViews>
    <sheetView showGridLines="0" tabSelected="1" workbookViewId="0">
      <selection activeCell="M13" sqref="M13"/>
    </sheetView>
  </sheetViews>
  <sheetFormatPr defaultRowHeight="13.5"/>
  <cols>
    <col min="2" max="2" width="13" customWidth="1"/>
    <col min="3" max="3" width="11.140625" customWidth="1"/>
    <col min="7" max="7" width="11.140625" customWidth="1"/>
    <col min="8" max="8" width="14.42578125" customWidth="1"/>
    <col min="9" max="9" width="13.140625" customWidth="1"/>
    <col min="10" max="10" width="17.28515625" customWidth="1"/>
    <col min="11" max="11" width="14.7109375" customWidth="1"/>
    <col min="12" max="13" width="11.140625" customWidth="1"/>
  </cols>
  <sheetData>
    <row r="4" spans="2:11">
      <c r="B4" s="5" t="s">
        <v>0</v>
      </c>
      <c r="C4" t="s">
        <v>69</v>
      </c>
    </row>
    <row r="5" spans="2:11">
      <c r="B5" s="5" t="s">
        <v>1</v>
      </c>
      <c r="C5" t="str">
        <f>VLOOKUP(C4,'STUDENT RECORDS'!A2:J31,2,FALSE)</f>
        <v>Paul Johnson</v>
      </c>
    </row>
    <row r="6" spans="2:11">
      <c r="B6" s="5" t="s">
        <v>81</v>
      </c>
      <c r="C6" t="str">
        <f>VLOOKUP(C4,'STUDENT RECORDS'!A2:J31,3,FALSE)</f>
        <v>Engineering</v>
      </c>
    </row>
    <row r="8" spans="2:11">
      <c r="H8" s="7" t="s">
        <v>82</v>
      </c>
      <c r="I8" s="7"/>
      <c r="J8" s="7"/>
    </row>
    <row r="9" spans="2:11">
      <c r="H9" s="6" t="s">
        <v>83</v>
      </c>
      <c r="I9" s="6"/>
    </row>
    <row r="10" spans="2:11">
      <c r="D10" s="4"/>
    </row>
    <row r="11" spans="2:11">
      <c r="G11" s="5" t="s">
        <v>84</v>
      </c>
      <c r="H11" s="5" t="s">
        <v>85</v>
      </c>
      <c r="I11" s="5" t="s">
        <v>86</v>
      </c>
      <c r="J11" s="5" t="s">
        <v>87</v>
      </c>
      <c r="K11" s="5" t="s">
        <v>88</v>
      </c>
    </row>
    <row r="12" spans="2:11">
      <c r="G12" s="5" t="s">
        <v>89</v>
      </c>
      <c r="H12">
        <v>100</v>
      </c>
      <c r="I12">
        <v>50</v>
      </c>
      <c r="J12">
        <f>VLOOKUP(C4,'STUDENT RECORDS'!A2:J31,4,FALSE)</f>
        <v>55</v>
      </c>
      <c r="K12" s="5" t="str" cm="1">
        <f t="array" ref="K12">_xlfn.IFS(Table3[[#This Row],[SCORE OBTAINED]]&gt;=85,"EXCELLENT",Table3[[#This Row],[SCORE OBTAINED]]&gt;=70,"VERY GOOD",Table3[[#This Row],[SCORE OBTAINED]]&gt;=60,"GOOD",Table3[[#This Row],[SCORE OBTAINED]]&gt;=50,"PASS",J11&gt;=45,"FAIL")</f>
        <v>PASS</v>
      </c>
    </row>
    <row r="13" spans="2:11">
      <c r="G13" s="5" t="s">
        <v>4</v>
      </c>
      <c r="H13">
        <v>100</v>
      </c>
      <c r="I13">
        <v>50</v>
      </c>
      <c r="J13">
        <f>VLOOKUP(C4,'STUDENT RECORDS'!A2:J31,5,FALSE)</f>
        <v>80</v>
      </c>
      <c r="K13" s="5" t="str" cm="1">
        <f t="array" ref="K13">_xlfn.IFS(Table3[[#This Row],[SCORE OBTAINED]]&gt;=85,"EXCELLENT",Table3[[#This Row],[SCORE OBTAINED]]&gt;=70,"VERY GOOD",Table3[[#This Row],[SCORE OBTAINED]]&gt;=60,"GOOD",Table3[[#This Row],[SCORE OBTAINED]]&gt;=50,"PASS",J12&gt;=45,"FAIL")</f>
        <v>VERY GOOD</v>
      </c>
    </row>
    <row r="14" spans="2:11">
      <c r="G14" s="5" t="s">
        <v>5</v>
      </c>
      <c r="H14">
        <v>100</v>
      </c>
      <c r="I14">
        <v>50</v>
      </c>
      <c r="J14">
        <f>VLOOKUP(C4,'STUDENT RECORDS'!A2:J31,6,FALSE)</f>
        <v>90</v>
      </c>
      <c r="K14" s="5" t="str" cm="1">
        <f t="array" ref="K14">_xlfn.IFS(Table3[[#This Row],[SCORE OBTAINED]]&gt;=85,"EXCELLENT",Table3[[#This Row],[SCORE OBTAINED]]&gt;=70,"VERY GOOD",Table3[[#This Row],[SCORE OBTAINED]]&gt;=60,"GOOD",Table3[[#This Row],[SCORE OBTAINED]]&gt;=50,"PASS",J13&gt;=45,"FAIL")</f>
        <v>EXCELLENT</v>
      </c>
    </row>
    <row r="15" spans="2:11">
      <c r="G15" s="5" t="s">
        <v>6</v>
      </c>
      <c r="H15">
        <v>100</v>
      </c>
      <c r="I15">
        <v>50</v>
      </c>
      <c r="J15">
        <f>VLOOKUP(C4,'STUDENT RECORDS'!A2:J31,7,FALSE)</f>
        <v>78</v>
      </c>
      <c r="K15" s="5" t="str" cm="1">
        <f t="array" ref="K15">_xlfn.IFS(Table3[[#This Row],[SCORE OBTAINED]]&gt;=85,"EXCELLENT",Table3[[#This Row],[SCORE OBTAINED]]&gt;=70,"VERY GOOD",Table3[[#This Row],[SCORE OBTAINED]]&gt;=60,"GOOD",Table3[[#This Row],[SCORE OBTAINED]]&gt;=50,"PASS",J14&gt;=45,"FAIL")</f>
        <v>VERY GOOD</v>
      </c>
    </row>
    <row r="16" spans="2:11">
      <c r="G16" s="5" t="s">
        <v>7</v>
      </c>
      <c r="H16">
        <v>100</v>
      </c>
      <c r="I16">
        <v>50</v>
      </c>
      <c r="J16">
        <f>VLOOKUP(C4,'STUDENT RECORDS'!A2:J31,8,FALSE)</f>
        <v>84</v>
      </c>
      <c r="K16" s="5" t="str" cm="1">
        <f t="array" ref="K16">_xlfn.IFS(Table3[[#This Row],[SCORE OBTAINED]]&gt;=85,"EXCELLENT",Table3[[#This Row],[SCORE OBTAINED]]&gt;=70,"VERY GOOD",Table3[[#This Row],[SCORE OBTAINED]]&gt;=60,"GOOD",Table3[[#This Row],[SCORE OBTAINED]]&gt;=50,"PASS",J15&gt;=45,"FAIL")</f>
        <v>VERY GOOD</v>
      </c>
    </row>
    <row r="17" spans="7:11">
      <c r="G17" s="5" t="s">
        <v>8</v>
      </c>
      <c r="H17">
        <v>100</v>
      </c>
      <c r="I17">
        <v>50</v>
      </c>
      <c r="J17">
        <f>VLOOKUP(C4,'STUDENT RECORDS'!A2:J31,9,FALSE)</f>
        <v>76</v>
      </c>
      <c r="K17" s="5" t="str" cm="1">
        <f t="array" ref="K17">_xlfn.IFS(Table3[[#This Row],[SCORE OBTAINED]]&gt;=85,"EXCELLENT",Table3[[#This Row],[SCORE OBTAINED]]&gt;=70,"VERY GOOD",Table3[[#This Row],[SCORE OBTAINED]]&gt;=60,"GOOD",Table3[[#This Row],[SCORE OBTAINED]]&gt;=50,"PASS",J16&gt;=45,"FAIL")</f>
        <v>VERY GOOD</v>
      </c>
    </row>
    <row r="18" spans="7:11">
      <c r="G18" s="5" t="s">
        <v>90</v>
      </c>
      <c r="H18">
        <v>100</v>
      </c>
      <c r="I18">
        <v>50</v>
      </c>
      <c r="J18">
        <f>VLOOKUP(C4,'STUDENT RECORDS'!A2:J31,10,FALSE)</f>
        <v>75</v>
      </c>
      <c r="K18" s="5" t="str" cm="1">
        <f t="array" ref="K18">_xlfn.IFS(Table3[[#This Row],[SCORE OBTAINED]]&gt;=85,"EXCELLENT",Table3[[#This Row],[SCORE OBTAINED]]&gt;=70,"VERY GOOD",Table3[[#This Row],[SCORE OBTAINED]]&gt;=60,"GOOD",Table3[[#This Row],[SCORE OBTAINED]]&gt;=50,"PASS",J17&gt;=45,"FAIL")</f>
        <v>VERY GOOD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7CAA654-CDF8-4A9D-A187-CB6FAC39858D}">
          <x14:formula1>
            <xm:f>'STUDENT RECORDS'!$A$2:$A$31</xm:f>
          </x14:formula1>
          <xm:sqref>C4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6D39A355080C45AB74C82FF1E3E82A" ma:contentTypeVersion="7" ma:contentTypeDescription="Create a new document." ma:contentTypeScope="" ma:versionID="2dad8da38e69b64d21c305678dae0be7">
  <xsd:schema xmlns:xsd="http://www.w3.org/2001/XMLSchema" xmlns:xs="http://www.w3.org/2001/XMLSchema" xmlns:p="http://schemas.microsoft.com/office/2006/metadata/properties" xmlns:ns2="6e0a9b9c-4ed8-4e9f-8162-c5b27aabdd60" targetNamespace="http://schemas.microsoft.com/office/2006/metadata/properties" ma:root="true" ma:fieldsID="be9a6167c0c2a6724675cfc81f59e3cf" ns2:_="">
    <xsd:import namespace="6e0a9b9c-4ed8-4e9f-8162-c5b27aabdd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0a9b9c-4ed8-4e9f-8162-c5b27aabdd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F821F9B-B1E0-40B8-A79F-B7E2377391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0a9b9c-4ed8-4e9f-8162-c5b27aabdd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66154E7-A51F-4A14-BCBF-5616579110C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D310749-3EFE-4291-B98E-B2C89E47D4CF}">
  <ds:schemaRefs>
    <ds:schemaRef ds:uri="http://purl.org/dc/terms/"/>
    <ds:schemaRef ds:uri="6e0a9b9c-4ed8-4e9f-8162-c5b27aabdd60"/>
    <ds:schemaRef ds:uri="http://purl.org/dc/elements/1.1/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RECORDS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Rahman Azeezat Taiwo</cp:lastModifiedBy>
  <dcterms:modified xsi:type="dcterms:W3CDTF">2026-05-11T18:55:40Z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0x010100F86D39A355080C45AB74C82FF1E3E82A</vt:lpwstr>
  </property>
</Properties>
</file>